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9" documentId="11_812364F1D75D20950EFB3EF817705409B8B99E50" xr6:coauthVersionLast="47" xr6:coauthVersionMax="47" xr10:uidLastSave="{AFEA1967-84F9-4DC7-8406-F8D3DAD772A3}"/>
  <bookViews>
    <workbookView xWindow="0" yWindow="0" windowWidth="0" windowHeight="0" xr2:uid="{00000000-000D-0000-FFFF-FFFF00000000}"/>
  </bookViews>
  <sheets>
    <sheet name="Transcripties" sheetId="1" r:id="rId1"/>
    <sheet name="Samenvat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6" i="2"/>
  <c r="B5" i="2"/>
  <c r="B4" i="2"/>
</calcChain>
</file>

<file path=xl/sharedStrings.xml><?xml version="1.0" encoding="utf-8"?>
<sst xmlns="http://schemas.openxmlformats.org/spreadsheetml/2006/main" count="41" uniqueCount="33">
  <si>
    <t>Bestand</t>
  </si>
  <si>
    <t>Duur (s)</t>
  </si>
  <si>
    <t>TTS-tekst</t>
  </si>
  <si>
    <t>INFOPLUS_ALGEMEEN/NL/Emergency_Emergency</t>
  </si>
  <si>
    <t>Wegens onvoorziene storingen kunnen wij momenteel uw oproep niet beantwoorden. Gelieve ons te verontschuldigen en op een later tijdstip terug te bellen.</t>
  </si>
  <si>
    <t>INFOPLUS_ALGEMEEN/NL/PreQueue_MaxQueueDisconnect</t>
  </si>
  <si>
    <t>Het is momenteel drukker dan gebruikelijk. Houd dus rekening met een langere wachttijd. Voor informatie, afspraken, attesten en meldingen kan u ook terecht op onze website www.antwerpen.be.</t>
  </si>
  <si>
    <t>INFOPLUS_ALGEMEEN/NL/PreQueue_NoStaffingDisconnect</t>
  </si>
  <si>
    <t>Welkom bij InfoPlus. Door een technische storing zijn wij telefonisch niet bereikbaar. Gelieve op een later tijdstip terug te bellen. Als medewerker van de stad vind je op het medewerkersportaal informatie over je personeelsaangelegenheden. Heb je toch nog een vraag? Stel ze dan via Vragen aan InfoPlus. Bedankt voor je begrip.</t>
  </si>
  <si>
    <t>INFOPLUS_ALGEMEEN/NL/Queue_WaitMessage01</t>
  </si>
  <si>
    <t>Welkom bij InfoPlus. Al onze medewerkers zijn in gesprek. Wij helpen je zo dadelijk verder. Bedankt voor je begrip.</t>
  </si>
  <si>
    <t>INFOPLUS_ALGEMEEN/NL/Scheduler_ClosedDisconnect</t>
  </si>
  <si>
    <t>Welkom bij InfoPlus. Op dit moment is onze dienst gesloten. Ben je artikel 60-medewerker en wil je je ziek melden? Bel dan naar je baas. Voor alle andere vragen kan je ons telefonisch bereiken elke werkdag van 6 uur 30 tot 17 uur. Je kan ook altijd een melding maken via het medewerkersportaal van de stad. Bedankt voor je begrip.</t>
  </si>
  <si>
    <t>INFOPLUS_ALGEMEEN/NL/Scheduler_ExceptionDisconnect</t>
  </si>
  <si>
    <t>Welkom bij InfoPlus. We zijn uitzonderlijk telefonisch niet bereikbaar. Je kan op een later tijdstip terugbellen. Als medewerker van de stad vind je op het medewerkersportaal informatie over je personeelsaangelegenheden. Heb je toch nog een vraag? Stel ze dan via Vraag aan InfoPlus. Bedankt voor je begrip.</t>
  </si>
  <si>
    <t>INFOPLUS_ALGEMEEN/NL/Scheduler_HolidayDisconnect</t>
  </si>
  <si>
    <t>Welkom bij InfoPlus. Vandaag zijn wij gesloten wegens een feestdag. Je kan ons bereiken tijdens de openingsuren, elke werkdag van 6 uur 30 tot 19 uur en zaterdag van 6 uur 30 tot 14 uur. Als medewerker van de stad vind je op het medewerkersportaal informatie over je personeelsaangelegenheden. Heb je toch nog een vraag? Stel ze dan via Vraag aan InfoPlus. Bedankt voor je begrip.</t>
  </si>
  <si>
    <t>INFOPLUS_ALGEMEEN/NL/Welcome</t>
  </si>
  <si>
    <t>Welkom bij InfoPlus.</t>
  </si>
  <si>
    <t>INFOPLUS_ZIEKTE/NL/Emergency_Emergency</t>
  </si>
  <si>
    <t>INFOPLUS_ZIEKTE/NL/PreQueue_MaxQueueDisconnect</t>
  </si>
  <si>
    <t>INFOPLUS_ZIEKTE/NL/PreQueue_NoStaffingDisconnect</t>
  </si>
  <si>
    <t>INFOPLUS_ZIEKTE/NL/Queue_WaitMessage01</t>
  </si>
  <si>
    <t>INFOPLUS_ZIEKTE/NL/Scheduler_ClosedDisconnect</t>
  </si>
  <si>
    <t>INFOPLUS_ZIEKTE/NL/Scheduler_ExceptionDisconnect</t>
  </si>
  <si>
    <t>INFOPLUS_ZIEKTE/NL/Scheduler_HolidayDisconnect</t>
  </si>
  <si>
    <t>INFOPLUS_ZIEKTE/NL/Welcome</t>
  </si>
  <si>
    <t>Samenvatting</t>
  </si>
  <si>
    <t>Aantal bestanden</t>
  </si>
  <si>
    <t>Totale duur (s)</t>
  </si>
  <si>
    <t>Gemiddelde duur (s)</t>
  </si>
  <si>
    <t>Min. duur (s)</t>
  </si>
  <si>
    <t>Max. duur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</si>
</sst>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b/>
      <sz val="16"/>
      <color rgb="FFFFFFFF"/>
      <name val="Calibri"/>
    </font>
    <font>
      <b/>
      <sz val="11"/>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5B9BD5"/>
      </patternFill>
    </fill>
  </fills>
  <borders count="1">
    <border>
      <left/>
      <right/>
      <top/>
      <bottom/>
      <diagonal/>
    </border>
  </borders>
  <cellStyleXfs count="1">
    <xf numFmtId="0" fontId="0" fillId="0" borderId="0"/>
  </cellStyleXfs>
  <cellXfs count="11">
    <xf numFmtId="0" fontId="0" fillId="0" borderId="0" xfId="0"/>
    <xf numFmtId="0" fontId="3" fillId="3" borderId="0" xfId="0" applyFont="1" applyFill="1" applyAlignment="1">
      <alignment horizontal="center" vertical="center"/>
    </xf>
    <xf numFmtId="0" fontId="0" fillId="0" borderId="0" xfId="0" applyAlignment="1">
      <alignment vertical="top" wrapText="1"/>
    </xf>
    <xf numFmtId="0" fontId="2" fillId="0" borderId="0" xfId="0" applyFont="1"/>
    <xf numFmtId="1" fontId="0" fillId="0" borderId="0" xfId="0" applyNumberFormat="1"/>
    <xf numFmtId="164" fontId="0" fillId="0" borderId="0" xfId="0" applyNumberFormat="1"/>
    <xf numFmtId="0" fontId="3" fillId="3" borderId="0" xfId="0" applyFont="1" applyFill="1" applyAlignment="1">
      <alignment horizontal="left" vertical="center"/>
    </xf>
    <xf numFmtId="164" fontId="0" fillId="0" borderId="0" xfId="0" applyNumberFormat="1" applyAlignment="1">
      <alignment horizontal="left" vertical="top" wrapText="1"/>
    </xf>
    <xf numFmtId="0" fontId="0" fillId="0" borderId="0" xfId="0" applyAlignment="1">
      <alignment horizontal="left"/>
    </xf>
    <xf numFmtId="0" fontId="1" fillId="2" borderId="0" xfId="0" applyFont="1" applyFill="1" applyAlignment="1"/>
    <xf numFmtId="0" fontId="0" fillId="0" borderId="0" xfId="0" applyAlignment="1"/>
  </cellXfs>
  <cellStyles count="1">
    <cellStyle name="Standaard" xfId="0" builtinId="0"/>
  </cellStyles>
  <dxfs count="1">
    <dxf>
      <alignment horizontal="lef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TS_Transcripties_PM" displayName="TTS_Transcripties_PM" ref="A1:C17">
  <autoFilter ref="A1:C17" xr:uid="{00000000-0009-0000-0100-000001000000}"/>
  <tableColumns count="3">
    <tableColumn id="1" xr3:uid="{00000000-0010-0000-0000-000001000000}" name="Bestand"/>
    <tableColumn id="2" xr3:uid="{00000000-0010-0000-0000-000002000000}" name="Duur (s)" dataDxfId="0"/>
    <tableColumn id="3" xr3:uid="{00000000-0010-0000-0000-000003000000}" name="TTS-tek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showGridLines="0" tabSelected="1" workbookViewId="0">
      <pane ySplit="1" topLeftCell="A2" activePane="bottomLeft" state="frozen"/>
      <selection pane="bottomLeft" sqref="A1:XFD1"/>
    </sheetView>
  </sheetViews>
  <sheetFormatPr defaultRowHeight="15"/>
  <cols>
    <col min="1" max="1" width="63.42578125" customWidth="1"/>
    <col min="2" max="2" width="21.28515625" style="8" customWidth="1"/>
    <col min="3" max="3" width="125" customWidth="1"/>
  </cols>
  <sheetData>
    <row r="1" spans="1:3" ht="21.95" customHeight="1">
      <c r="A1" s="1" t="s">
        <v>0</v>
      </c>
      <c r="B1" s="6" t="s">
        <v>1</v>
      </c>
      <c r="C1" s="1" t="s">
        <v>2</v>
      </c>
    </row>
    <row r="2" spans="1:3" ht="72" customHeight="1">
      <c r="A2" s="2" t="s">
        <v>3</v>
      </c>
      <c r="B2" s="7">
        <v>7.4</v>
      </c>
      <c r="C2" s="2" t="s">
        <v>4</v>
      </c>
    </row>
    <row r="3" spans="1:3" ht="72" customHeight="1">
      <c r="A3" s="2" t="s">
        <v>5</v>
      </c>
      <c r="B3" s="7">
        <v>14</v>
      </c>
      <c r="C3" s="2" t="s">
        <v>6</v>
      </c>
    </row>
    <row r="4" spans="1:3" ht="72" customHeight="1">
      <c r="A4" s="2" t="s">
        <v>7</v>
      </c>
      <c r="B4" s="7">
        <v>21.1</v>
      </c>
      <c r="C4" s="2" t="s">
        <v>8</v>
      </c>
    </row>
    <row r="5" spans="1:3" ht="72" customHeight="1">
      <c r="A5" s="2" t="s">
        <v>9</v>
      </c>
      <c r="B5" s="7">
        <v>36.1</v>
      </c>
      <c r="C5" s="2" t="s">
        <v>10</v>
      </c>
    </row>
    <row r="6" spans="1:3" ht="72" customHeight="1">
      <c r="A6" s="2" t="s">
        <v>11</v>
      </c>
      <c r="B6" s="7">
        <v>23.5</v>
      </c>
      <c r="C6" s="2" t="s">
        <v>12</v>
      </c>
    </row>
    <row r="7" spans="1:3" ht="72" customHeight="1">
      <c r="A7" s="2" t="s">
        <v>13</v>
      </c>
      <c r="B7" s="7">
        <v>20.6</v>
      </c>
      <c r="C7" s="2" t="s">
        <v>14</v>
      </c>
    </row>
    <row r="8" spans="1:3" ht="72" customHeight="1">
      <c r="A8" s="2" t="s">
        <v>15</v>
      </c>
      <c r="B8" s="7">
        <v>26.4</v>
      </c>
      <c r="C8" s="2" t="s">
        <v>16</v>
      </c>
    </row>
    <row r="9" spans="1:3" ht="72" customHeight="1">
      <c r="A9" s="2" t="s">
        <v>17</v>
      </c>
      <c r="B9" s="7">
        <v>2.5</v>
      </c>
      <c r="C9" s="2" t="s">
        <v>18</v>
      </c>
    </row>
    <row r="10" spans="1:3" ht="72" customHeight="1">
      <c r="A10" s="2" t="s">
        <v>19</v>
      </c>
      <c r="B10" s="7">
        <v>7.4</v>
      </c>
      <c r="C10" s="2" t="s">
        <v>4</v>
      </c>
    </row>
    <row r="11" spans="1:3" ht="72" customHeight="1">
      <c r="A11" s="2" t="s">
        <v>20</v>
      </c>
      <c r="B11" s="7">
        <v>14</v>
      </c>
      <c r="C11" s="2" t="s">
        <v>6</v>
      </c>
    </row>
    <row r="12" spans="1:3" ht="72" customHeight="1">
      <c r="A12" s="2" t="s">
        <v>21</v>
      </c>
      <c r="B12" s="7">
        <v>21.1</v>
      </c>
      <c r="C12" s="2" t="s">
        <v>8</v>
      </c>
    </row>
    <row r="13" spans="1:3" ht="72" customHeight="1">
      <c r="A13" s="2" t="s">
        <v>22</v>
      </c>
      <c r="B13" s="7">
        <v>36.1</v>
      </c>
      <c r="C13" s="2" t="s">
        <v>10</v>
      </c>
    </row>
    <row r="14" spans="1:3" ht="72" customHeight="1">
      <c r="A14" s="2" t="s">
        <v>23</v>
      </c>
      <c r="B14" s="7">
        <v>23.5</v>
      </c>
      <c r="C14" s="2" t="s">
        <v>12</v>
      </c>
    </row>
    <row r="15" spans="1:3" ht="72" customHeight="1">
      <c r="A15" s="2" t="s">
        <v>24</v>
      </c>
      <c r="B15" s="7">
        <v>20.6</v>
      </c>
      <c r="C15" s="2" t="s">
        <v>14</v>
      </c>
    </row>
    <row r="16" spans="1:3" ht="72" customHeight="1">
      <c r="A16" s="2" t="s">
        <v>25</v>
      </c>
      <c r="B16" s="7">
        <v>26.4</v>
      </c>
      <c r="C16" s="2" t="s">
        <v>16</v>
      </c>
    </row>
    <row r="17" spans="1:3" ht="72" customHeight="1">
      <c r="A17" s="2" t="s">
        <v>26</v>
      </c>
      <c r="B17" s="7">
        <v>2.5</v>
      </c>
      <c r="C17" s="2"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showGridLines="0" workbookViewId="0"/>
  </sheetViews>
  <sheetFormatPr defaultRowHeight="15"/>
  <cols>
    <col min="1" max="1" width="24" customWidth="1"/>
    <col min="2" max="2" width="18" customWidth="1"/>
  </cols>
  <sheetData>
    <row r="1" spans="1:2">
      <c r="A1" s="9" t="s">
        <v>27</v>
      </c>
      <c r="B1" s="10"/>
    </row>
    <row r="3" spans="1:2">
      <c r="A3" s="3" t="s">
        <v>28</v>
      </c>
      <c r="B3" s="4">
        <v>16</v>
      </c>
    </row>
    <row r="4" spans="1:2">
      <c r="A4" s="3" t="s">
        <v>29</v>
      </c>
      <c r="B4" s="5">
        <f>SUM(Transcripties!B2:B17)</f>
        <v>303.2</v>
      </c>
    </row>
    <row r="5" spans="1:2">
      <c r="A5" s="3" t="s">
        <v>30</v>
      </c>
      <c r="B5" s="5">
        <f>AVERAGE(Transcripties!B2:B17)</f>
        <v>18.95</v>
      </c>
    </row>
    <row r="6" spans="1:2">
      <c r="A6" s="3" t="s">
        <v>31</v>
      </c>
      <c r="B6" s="5">
        <f>MIN(Transcripties!B2:B17)</f>
        <v>2.5</v>
      </c>
    </row>
    <row r="7" spans="1:2">
      <c r="A7" s="3" t="s">
        <v>32</v>
      </c>
      <c r="B7" s="5">
        <f>MAX(Transcripties!B2:B17)</f>
        <v>36.1</v>
      </c>
    </row>
  </sheetData>
  <mergeCells count="1">
    <mergeCell ref="A1:B1"/>
  </mergeCells>
  <pageMargins left="0.75" right="0.75" top="1" bottom="1" header="0.5" footer="0.5"/>
</worksheet>
</file>

<file path=docMetadata/LabelInfo.xml><?xml version="1.0" encoding="utf-8"?>
<clbl:labelList xmlns:clbl="http://schemas.microsoft.com/office/2020/mipLabelMetadata">
  <clbl:label id="{0a9b9e15-83d2-4075-9282-a04e05c6580a}" enabled="1" method="Standard" siteId="{24139d14-c62c-4c47-8bdd-ce71ea1d50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MERTENS Mattias (N-Allo)</dc:creator>
  <cp:keywords/>
  <dc:description/>
  <cp:lastModifiedBy>MERTENS Mattias (N-Allo)</cp:lastModifiedBy>
  <cp:revision/>
  <dcterms:created xsi:type="dcterms:W3CDTF">2026-07-17T12:23:56Z</dcterms:created>
  <dcterms:modified xsi:type="dcterms:W3CDTF">2026-07-17T13:00:18Z</dcterms:modified>
  <cp:category/>
  <cp:contentStatus/>
</cp:coreProperties>
</file>